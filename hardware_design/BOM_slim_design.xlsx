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VV13\Documents\multireflection\hardware_design\"/>
    </mc:Choice>
  </mc:AlternateContent>
  <xr:revisionPtr revIDLastSave="0" documentId="13_ncr:1_{73E625D2-B025-4D0A-A535-1A1BC1FA00D6}" xr6:coauthVersionLast="47" xr6:coauthVersionMax="47" xr10:uidLastSave="{00000000-0000-0000-0000-000000000000}"/>
  <bookViews>
    <workbookView xWindow="29535" yWindow="735" windowWidth="28065" windowHeight="15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7" i="1" l="1"/>
</calcChain>
</file>

<file path=xl/sharedStrings.xml><?xml version="1.0" encoding="utf-8"?>
<sst xmlns="http://schemas.openxmlformats.org/spreadsheetml/2006/main" count="49" uniqueCount="40">
  <si>
    <t>BILL OF MATERIALS</t>
  </si>
  <si>
    <t/>
  </si>
  <si>
    <t>Item</t>
  </si>
  <si>
    <t>Part Number</t>
  </si>
  <si>
    <t>Description</t>
  </si>
  <si>
    <t>Qty</t>
  </si>
  <si>
    <t>Ext. Cost (USD)</t>
  </si>
  <si>
    <t>Supplier</t>
  </si>
  <si>
    <t>NA-1</t>
  </si>
  <si>
    <t>Product Link</t>
  </si>
  <si>
    <t>11HS04-0504S</t>
  </si>
  <si>
    <t>Pancake Nema 11 Bipolar 1.8deg 1Ncm(1.4164oz.in) 0.5A 28x28x9.5mm 4 Wires</t>
  </si>
  <si>
    <t>stepperonline</t>
  </si>
  <si>
    <t>https://www.omc-stepperonline.com/pancake-nema-11-bipolar-1-8deg-1ncm-1-4164oz-in-0-5a-28x28x9-5mm-4-wires-11hs04-0504s</t>
  </si>
  <si>
    <t>Round Pancake Nema 24 Bipolar 1.8deg 6Ncm(8.5oz.in) 1A Φ60x9.6mm 4 Wires</t>
  </si>
  <si>
    <t>24HR04-1004S</t>
  </si>
  <si>
    <t>https://www.omc-stepperonline.com/round-pancake-nema-24-bipolar-1-8deg-6ncm-8-498oz-in-1a-60x9-6mm-4-wires-24hr04-1004s</t>
  </si>
  <si>
    <t>Unit Cost</t>
  </si>
  <si>
    <t>https://www.mcmaster.com/1265K33/</t>
  </si>
  <si>
    <t>1265K33</t>
  </si>
  <si>
    <t>Rotary Shaft 316 Stainless Steel, 3 mm Diameter, 400 mm Long</t>
  </si>
  <si>
    <t>mcmaster</t>
  </si>
  <si>
    <t>GEABB0.5-15-8-K-4</t>
  </si>
  <si>
    <t>Misumi</t>
  </si>
  <si>
    <t>https://us.misumi-ec.com/vona2/detail/110300428250/?CategorySpec=00000029834%3A%3Amig00000001421507%0900000045583%3A%3A00000045583.a%2100004%0900000045589%3A%3Ac%0900000029838%3A%3Aa%0900000029839%3A%3Ab%0900000096251%3A%3Ab%0900000029842%3A%3Aa%0900000029828%3A%3Ab%0900000029845%3A%3A4%0900000045580%3A%3Ab%0900000029835%3A%3Amig00000001424749%0900000029846%3A%3Ab%0900000126692%3A%3Amig00000001598376%0900000029841%3A%3Aa%0900000126697%3A%3Amig00000001498441%09jp000011557%3A%3Amig00000000053646&amp;list=PageCategory&amp;seriesCode=110300428250&amp;tab=codeList&amp;Page=1&amp;PartNumber=GEABB0.5-15-8-K-4&amp;InnerCode=MDM00000866976</t>
  </si>
  <si>
    <t>4mm bore motor mount -- Spur Gears - Pressure Angle 20 Degrees, Module 0.5</t>
  </si>
  <si>
    <t>GEABB0.5-20-8-K-3</t>
  </si>
  <si>
    <t>3mm intermideate -- Spur Gears - Pressure Angle 20 Degrees, Module 0.5</t>
  </si>
  <si>
    <t>https://us.misumi-ec.com/vona2/detail/110300428250/?CategorySpec=00000029834%3A%3Amig00000001421493%0900000045583%3A%3A00000045583.a%2100004%0900000045589%3A%3Ac%0900000029838%3A%3Aa%0900000029839%3A%3Ab%0900000096251%3A%3Ab%0900000029842%3A%3Aa%0900000029828%3A%3Ab%0900000029845%3A%3A3%0900000045580%3A%3Ab%0900000029835%3A%3Amig00000001424749%0900000029846%3A%3Ab%0900000126692%3A%3Amig00000001598376%0900000029841%3A%3Aa%0900000126697%3A%3Amig00000001498441%09jp000011557%3A%3Amig00000000053646&amp;list=PageCategory&amp;seriesCode=110300428250&amp;tab=codeList&amp;Page=1&amp;PartNumber=GEABB0.5-20-8-K-3&amp;InnerCode=MDM00000866927</t>
  </si>
  <si>
    <t>https://us.misumi-ec.com/vona2/detail/110300428250/?CategorySpec=00000029834%3A%3Amig00000001421503%0900000045583%3A%3A00000045583.a%2100004%0900000045589%3A%3Ab%0900000029838%3A%3Aa%0900000029839%3A%3Ab%0900000096251%3A%3Ab%0900000029842%3A%3Aa%0900000029828%3A%3Ab%0900000029845%3A%3A3%0900000045580%3A%3Ab%0900000029835%3A%3Amig00000001498777%0900000029846%3A%3Ab%0900000126692%3A%3Amig00000001598376%0900000029841%3A%3Aa%0900000126697%3A%3Amig00000001498441%09jp000011557%3A%3Amig00000000053646&amp;seriesCode=110300428250&amp;tab=cadPreview&amp;Page=1&amp;PartNumber=GEABB0.5-50-2-B-3&amp;InnerCode=MDM00000867008</t>
  </si>
  <si>
    <t>GEABB0.5-50-2-B-3</t>
  </si>
  <si>
    <t>3mm end gear -- Spur Gears - Pressure Angle 20 Degrees, Module 0.5</t>
  </si>
  <si>
    <t>https://www.mcmaster.com/8969T319/</t>
  </si>
  <si>
    <t>8969T319</t>
  </si>
  <si>
    <t>316 Stainless Steel Corrosion-Resistant Compression Springs 6.5 mm Long, 3 mm OD, 2.280 mm ID</t>
  </si>
  <si>
    <t>TOTAL without shipping</t>
  </si>
  <si>
    <t>qphotonics</t>
  </si>
  <si>
    <t>https://www.mcmaster.com/2418T329/</t>
  </si>
  <si>
    <t>Oil-Resistant Soft Buna-N O-Ring 1/16 Fractional Width, Dash Number 043</t>
  </si>
  <si>
    <t>2418T329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</si>
</sst>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0" xfId="2"/>
    <xf numFmtId="0" fontId="1" fillId="0" borderId="0" xfId="0" applyFont="1"/>
    <xf numFmtId="4" fontId="1" fillId="0" borderId="0" xfId="1" applyNumberFormat="1"/>
    <xf numFmtId="0" fontId="1" fillId="0" borderId="0" xfId="1" applyAlignment="1">
      <alignment wrapText="1"/>
    </xf>
    <xf numFmtId="0" fontId="1" fillId="2" borderId="0" xfId="1" applyFill="1"/>
    <xf numFmtId="0" fontId="1" fillId="0" borderId="0" xfId="1"/>
  </cellXfs>
  <cellStyles count="3">
    <cellStyle name="Hyperlink" xfId="2" builtinId="8"/>
    <cellStyle name="Normal" xfId="0" builtinId="0"/>
    <cellStyle name="Normal 2" xfId="1" xr:uid="{D2486379-2D9B-44EA-B8F5-BCA114A604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2418T329/" TargetMode="External"/><Relationship Id="rId3" Type="http://schemas.openxmlformats.org/officeDocument/2006/relationships/hyperlink" Target="https://www.mcmaster.com/1265K33/" TargetMode="External"/><Relationship Id="rId7" Type="http://schemas.openxmlformats.org/officeDocument/2006/relationships/hyperlink" Target="https://www.mcmaster.com/8969T319/" TargetMode="External"/><Relationship Id="rId2" Type="http://schemas.openxmlformats.org/officeDocument/2006/relationships/hyperlink" Target="https://www.omc-stepperonline.com/round-pancake-nema-24-bipolar-1-8deg-6ncm-8-498oz-in-1a-60x9-6mm-4-wires-24hr04-1004s" TargetMode="External"/><Relationship Id="rId1" Type="http://schemas.openxmlformats.org/officeDocument/2006/relationships/hyperlink" Target="https://www.omc-stepperonline.com/pancake-nema-11-bipolar-1-8deg-1ncm-1-4164oz-in-0-5a-28x28x9-5mm-4-wires-11hs04-0504s" TargetMode="External"/><Relationship Id="rId6" Type="http://schemas.openxmlformats.org/officeDocument/2006/relationships/hyperlink" Target="https://us.misumi-ec.com/vona2/detail/110300428250/?CategorySpec=00000029834%3A%3Amig00000001421503%0900000045583%3A%3A00000045583.a%2100004%0900000045589%3A%3Ab%0900000029838%3A%3Aa%0900000029839%3A%3Ab%0900000096251%3A%3Ab%0900000029842%3A%3Aa%0900000029828%3A%3Ab%0900000029845%3A%3A3%0900000045580%3A%3Ab%0900000029835%3A%3Amig00000001498777%0900000029846%3A%3Ab%0900000126692%3A%3Amig00000001598376%0900000029841%3A%3Aa%0900000126697%3A%3Amig00000001498441%09jp000011557%3A%3Amig00000000053646&amp;seriesCode=110300428250&amp;tab=cadPreview&amp;Page=1&amp;PartNumber=GEABB0.5-50-2-B-3&amp;InnerCode=MDM00000867008" TargetMode="External"/><Relationship Id="rId5" Type="http://schemas.openxmlformats.org/officeDocument/2006/relationships/hyperlink" Target="https://us.misumi-ec.com/vona2/detail/110300428250/?CategorySpec=00000029834%3A%3Amig00000001421493%0900000045583%3A%3A00000045583.a%2100004%0900000045589%3A%3Ac%0900000029838%3A%3Aa%0900000029839%3A%3Ab%0900000096251%3A%3Ab%0900000029842%3A%3Aa%0900000029828%3A%3Ab%0900000029845%3A%3A3%0900000045580%3A%3Ab%0900000029835%3A%3Amig00000001424749%0900000029846%3A%3Ab%0900000126692%3A%3Amig00000001598376%0900000029841%3A%3Aa%0900000126697%3A%3Amig00000001498441%09jp000011557%3A%3Amig00000000053646&amp;list=PageCategory&amp;seriesCode=110300428250&amp;tab=codeList&amp;Page=1&amp;PartNumber=GEABB0.5-20-8-K-3&amp;InnerCode=MDM00000866927" TargetMode="External"/><Relationship Id="rId4" Type="http://schemas.openxmlformats.org/officeDocument/2006/relationships/hyperlink" Target="https://us.misumi-ec.com/vona2/detail/110300428250/?CategorySpec=00000029834%3A%3Amig00000001421507%0900000045583%3A%3A00000045583.a%2100004%0900000045589%3A%3Ac%0900000029838%3A%3Aa%0900000029839%3A%3Ab%0900000096251%3A%3Ab%0900000029842%3A%3Aa%0900000029828%3A%3Ab%0900000029845%3A%3A4%0900000045580%3A%3Ab%0900000029835%3A%3Amig00000001424749%0900000029846%3A%3Ab%0900000126692%3A%3Amig00000001598376%0900000029841%3A%3Aa%0900000126697%3A%3Amig00000001498441%09jp000011557%3A%3Amig00000000053646&amp;list=PageCategory&amp;seriesCode=110300428250&amp;tab=codeList&amp;Page=1&amp;PartNumber=GEABB0.5-15-8-K-4&amp;InnerCode=MDM00000866976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C17" sqref="C17"/>
    </sheetView>
  </sheetViews>
  <sheetFormatPr defaultRowHeight="15" x14ac:dyDescent="0.25"/>
  <cols>
    <col min="1" max="1" width="8" bestFit="1" customWidth="1"/>
    <col min="2" max="2" width="32.85546875" bestFit="1" customWidth="1"/>
    <col min="3" max="3" width="84.42578125" customWidth="1"/>
    <col min="4" max="4" width="9.85546875" bestFit="1" customWidth="1"/>
    <col min="5" max="5" width="15.5703125" bestFit="1" customWidth="1"/>
    <col min="6" max="6" width="15.140625" bestFit="1" customWidth="1"/>
    <col min="7" max="7" width="13.42578125" customWidth="1"/>
    <col min="8" max="8" width="12.5703125" customWidth="1"/>
  </cols>
  <sheetData>
    <row r="1" spans="1:8" ht="15.75" x14ac:dyDescent="0.25">
      <c r="A1" s="8" t="s">
        <v>0</v>
      </c>
      <c r="B1" s="8"/>
      <c r="C1" s="8"/>
      <c r="D1" s="8"/>
      <c r="E1" s="8"/>
      <c r="F1" s="8"/>
      <c r="G1" s="8"/>
      <c r="H1" s="8"/>
    </row>
    <row r="3" spans="1:8" ht="15.7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17</v>
      </c>
      <c r="F3" s="1" t="s">
        <v>6</v>
      </c>
      <c r="G3" s="1" t="s">
        <v>7</v>
      </c>
      <c r="H3" s="1" t="s">
        <v>9</v>
      </c>
    </row>
    <row r="4" spans="1:8" ht="15.75" x14ac:dyDescent="0.25">
      <c r="A4" s="7">
        <v>1</v>
      </c>
      <c r="B4" s="1" t="s">
        <v>8</v>
      </c>
      <c r="C4" s="1"/>
      <c r="D4" s="1"/>
      <c r="E4" s="5"/>
      <c r="F4" s="5"/>
      <c r="G4" s="1" t="s">
        <v>36</v>
      </c>
      <c r="H4" s="3"/>
    </row>
    <row r="5" spans="1:8" ht="15.75" x14ac:dyDescent="0.25">
      <c r="A5" s="7">
        <v>2</v>
      </c>
      <c r="B5" s="1" t="s">
        <v>10</v>
      </c>
      <c r="C5" s="4" t="s">
        <v>11</v>
      </c>
      <c r="D5" s="1">
        <v>2</v>
      </c>
      <c r="E5" s="5">
        <v>27.33</v>
      </c>
      <c r="F5" s="5">
        <f t="shared" ref="F5:F11" si="0">D5*E5</f>
        <v>54.66</v>
      </c>
      <c r="G5" s="1" t="s">
        <v>12</v>
      </c>
      <c r="H5" s="3" t="s">
        <v>13</v>
      </c>
    </row>
    <row r="6" spans="1:8" ht="15.75" x14ac:dyDescent="0.25">
      <c r="A6" s="7">
        <v>3</v>
      </c>
      <c r="B6" s="1" t="s">
        <v>15</v>
      </c>
      <c r="C6" s="1" t="s">
        <v>14</v>
      </c>
      <c r="D6" s="1">
        <v>2</v>
      </c>
      <c r="E6" s="5">
        <v>27.52</v>
      </c>
      <c r="F6" s="5">
        <f t="shared" si="0"/>
        <v>55.04</v>
      </c>
      <c r="G6" s="1" t="s">
        <v>12</v>
      </c>
      <c r="H6" s="3" t="s">
        <v>16</v>
      </c>
    </row>
    <row r="7" spans="1:8" ht="15.75" x14ac:dyDescent="0.25">
      <c r="A7" s="7">
        <v>4</v>
      </c>
      <c r="B7" s="1" t="s">
        <v>19</v>
      </c>
      <c r="C7" s="1" t="s">
        <v>20</v>
      </c>
      <c r="D7" s="1">
        <v>1</v>
      </c>
      <c r="E7" s="5">
        <v>25.62</v>
      </c>
      <c r="F7" s="5">
        <f t="shared" si="0"/>
        <v>25.62</v>
      </c>
      <c r="G7" s="1" t="s">
        <v>21</v>
      </c>
      <c r="H7" s="3" t="s">
        <v>18</v>
      </c>
    </row>
    <row r="8" spans="1:8" ht="15.75" x14ac:dyDescent="0.25">
      <c r="A8" s="7">
        <v>5</v>
      </c>
      <c r="B8" s="1" t="s">
        <v>22</v>
      </c>
      <c r="C8" s="1" t="s">
        <v>25</v>
      </c>
      <c r="D8" s="1">
        <v>2</v>
      </c>
      <c r="E8" s="5">
        <v>16.61</v>
      </c>
      <c r="F8" s="5">
        <f t="shared" si="0"/>
        <v>33.22</v>
      </c>
      <c r="G8" s="1" t="s">
        <v>23</v>
      </c>
      <c r="H8" s="3" t="s">
        <v>24</v>
      </c>
    </row>
    <row r="9" spans="1:8" ht="15.75" x14ac:dyDescent="0.25">
      <c r="A9" s="7">
        <v>6</v>
      </c>
      <c r="B9" s="1" t="s">
        <v>26</v>
      </c>
      <c r="C9" s="1" t="s">
        <v>27</v>
      </c>
      <c r="D9" s="1">
        <v>2</v>
      </c>
      <c r="E9" s="5">
        <v>21.92</v>
      </c>
      <c r="F9" s="5">
        <f t="shared" si="0"/>
        <v>43.84</v>
      </c>
      <c r="G9" s="1" t="s">
        <v>23</v>
      </c>
      <c r="H9" s="3" t="s">
        <v>28</v>
      </c>
    </row>
    <row r="10" spans="1:8" ht="15.75" x14ac:dyDescent="0.25">
      <c r="A10" s="7">
        <v>7</v>
      </c>
      <c r="B10" s="1" t="s">
        <v>30</v>
      </c>
      <c r="C10" s="1" t="s">
        <v>31</v>
      </c>
      <c r="D10" s="1">
        <v>2</v>
      </c>
      <c r="E10" s="5">
        <v>23.95</v>
      </c>
      <c r="F10" s="5">
        <f t="shared" si="0"/>
        <v>47.9</v>
      </c>
      <c r="G10" s="1" t="s">
        <v>23</v>
      </c>
      <c r="H10" s="3" t="s">
        <v>29</v>
      </c>
    </row>
    <row r="11" spans="1:8" ht="15.75" x14ac:dyDescent="0.25">
      <c r="A11" s="7">
        <v>8</v>
      </c>
      <c r="B11" s="1" t="s">
        <v>33</v>
      </c>
      <c r="C11" s="1" t="s">
        <v>34</v>
      </c>
      <c r="D11" s="1">
        <v>2</v>
      </c>
      <c r="E11" s="5">
        <v>4.5999999999999996</v>
      </c>
      <c r="F11" s="5">
        <f t="shared" si="0"/>
        <v>9.1999999999999993</v>
      </c>
      <c r="G11" s="1" t="s">
        <v>21</v>
      </c>
      <c r="H11" s="3" t="s">
        <v>32</v>
      </c>
    </row>
    <row r="12" spans="1:8" ht="15.75" x14ac:dyDescent="0.25">
      <c r="A12" s="1"/>
      <c r="B12" s="1"/>
      <c r="C12" s="1"/>
      <c r="D12" s="1"/>
      <c r="E12" s="5"/>
      <c r="F12" s="5"/>
      <c r="G12" s="1"/>
      <c r="H12" s="1"/>
    </row>
    <row r="13" spans="1:8" ht="15.75" x14ac:dyDescent="0.25">
      <c r="A13" s="1"/>
      <c r="B13" s="1" t="s">
        <v>39</v>
      </c>
      <c r="C13" s="6" t="s">
        <v>38</v>
      </c>
      <c r="D13" s="1">
        <v>1</v>
      </c>
      <c r="E13" s="5"/>
      <c r="F13" s="5"/>
      <c r="G13" s="1"/>
      <c r="H13" s="3" t="s">
        <v>37</v>
      </c>
    </row>
    <row r="14" spans="1:8" ht="15.75" x14ac:dyDescent="0.25">
      <c r="A14" s="1"/>
      <c r="B14" s="1"/>
      <c r="C14" s="1"/>
      <c r="D14" s="1"/>
      <c r="E14" s="5"/>
      <c r="F14" s="5"/>
      <c r="G14" s="1"/>
      <c r="H14" s="1"/>
    </row>
    <row r="15" spans="1:8" ht="15.75" x14ac:dyDescent="0.25">
      <c r="A15" s="1"/>
      <c r="B15" s="1"/>
      <c r="C15" s="1"/>
      <c r="D15" s="1"/>
      <c r="E15" s="5"/>
      <c r="F15" s="5"/>
      <c r="G15" s="1"/>
      <c r="H15" s="1"/>
    </row>
    <row r="17" spans="1:8" ht="31.5" x14ac:dyDescent="0.25">
      <c r="A17" s="1" t="s">
        <v>1</v>
      </c>
      <c r="B17" s="1" t="s">
        <v>1</v>
      </c>
      <c r="C17" s="1" t="s">
        <v>1</v>
      </c>
      <c r="D17" s="1" t="s">
        <v>1</v>
      </c>
      <c r="E17" s="6" t="s">
        <v>35</v>
      </c>
      <c r="F17" s="2">
        <f>SUM(F4:F15)</f>
        <v>269.47999999999996</v>
      </c>
      <c r="G17" s="1" t="s">
        <v>1</v>
      </c>
      <c r="H17" s="1" t="s">
        <v>1</v>
      </c>
    </row>
  </sheetData>
  <mergeCells count="1">
    <mergeCell ref="A1:H1"/>
  </mergeCells>
  <hyperlinks>
    <hyperlink ref="H5" r:id="rId1" xr:uid="{626291D4-ED73-441D-9269-929CDABC5F3F}"/>
    <hyperlink ref="H6" r:id="rId2" xr:uid="{8FF8AB08-A62F-4441-9117-8D23390D8D97}"/>
    <hyperlink ref="H7" r:id="rId3" xr:uid="{4F3A3623-F0F1-4A46-B83E-A3F103AC0B2E}"/>
    <hyperlink ref="H8" r:id="rId4" display="https://us.misumi-ec.com/vona2/detail/110300428250/?CategorySpec=00000029834%3A%3Amig00000001421507%0900000045583%3A%3A00000045583.a%2100004%0900000045589%3A%3Ac%0900000029838%3A%3Aa%0900000029839%3A%3Ab%0900000096251%3A%3Ab%0900000029842%3A%3Aa%0900000029828%3A%3Ab%0900000029845%3A%3A4%0900000045580%3A%3Ab%0900000029835%3A%3Amig00000001424749%0900000029846%3A%3Ab%0900000126692%3A%3Amig00000001598376%0900000029841%3A%3Aa%0900000126697%3A%3Amig00000001498441%09jp000011557%3A%3Amig00000000053646&amp;list=PageCategory&amp;seriesCode=110300428250&amp;tab=codeList&amp;Page=1&amp;PartNumber=GEABB0.5-15-8-K-4&amp;InnerCode=MDM00000866976" xr:uid="{02E25329-398F-46E6-8253-837A8BBA861C}"/>
    <hyperlink ref="H9" r:id="rId5" display="https://us.misumi-ec.com/vona2/detail/110300428250/?CategorySpec=00000029834%3A%3Amig00000001421493%0900000045583%3A%3A00000045583.a%2100004%0900000045589%3A%3Ac%0900000029838%3A%3Aa%0900000029839%3A%3Ab%0900000096251%3A%3Ab%0900000029842%3A%3Aa%0900000029828%3A%3Ab%0900000029845%3A%3A3%0900000045580%3A%3Ab%0900000029835%3A%3Amig00000001424749%0900000029846%3A%3Ab%0900000126692%3A%3Amig00000001598376%0900000029841%3A%3Aa%0900000126697%3A%3Amig00000001498441%09jp000011557%3A%3Amig00000000053646&amp;list=PageCategory&amp;seriesCode=110300428250&amp;tab=codeList&amp;Page=1&amp;PartNumber=GEABB0.5-20-8-K-3&amp;InnerCode=MDM00000866927" xr:uid="{15412475-7C0F-4BEF-8F62-3481921B1972}"/>
    <hyperlink ref="H10" r:id="rId6" display="https://us.misumi-ec.com/vona2/detail/110300428250/?CategorySpec=00000029834%3A%3Amig00000001421503%0900000045583%3A%3A00000045583.a%2100004%0900000045589%3A%3Ab%0900000029838%3A%3Aa%0900000029839%3A%3Ab%0900000096251%3A%3Ab%0900000029842%3A%3Aa%0900000029828%3A%3Ab%0900000029845%3A%3A3%0900000045580%3A%3Ab%0900000029835%3A%3Amig00000001498777%0900000029846%3A%3Ab%0900000126692%3A%3Amig00000001598376%0900000029841%3A%3Aa%0900000126697%3A%3Amig00000001498441%09jp000011557%3A%3Amig00000000053646&amp;seriesCode=110300428250&amp;tab=cadPreview&amp;Page=1&amp;PartNumber=GEABB0.5-50-2-B-3&amp;InnerCode=MDM00000867008" xr:uid="{52ED92ED-6758-4A6F-9979-E321A19F9CB9}"/>
    <hyperlink ref="H11" r:id="rId7" xr:uid="{F7B290C9-1081-4612-BF7A-3263D13886C3}"/>
    <hyperlink ref="H13" r:id="rId8" xr:uid="{0F7587B4-E67D-4395-BAB0-EB2F31D4A40D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Venediktov, Evgenii</dc:creator>
  <cp:lastModifiedBy>Venediktov, Evgenii</cp:lastModifiedBy>
  <dcterms:created xsi:type="dcterms:W3CDTF">2015-06-05T18:17:20Z</dcterms:created>
  <dcterms:modified xsi:type="dcterms:W3CDTF">2026-04-27T14:05:19Z</dcterms:modified>
</cp:coreProperties>
</file>